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9060" yWindow="390" windowWidth="16380" windowHeight="8070"/>
  </bookViews>
  <sheets>
    <sheet name="Лист 1" sheetId="1" r:id="rId1"/>
  </sheets>
  <definedNames>
    <definedName name="date_create">'Лист 1'!$A$4</definedName>
    <definedName name="fio" localSheetId="0">'Лист 1'!$J$19</definedName>
    <definedName name="position" localSheetId="0">'Лист 1'!$A$33</definedName>
    <definedName name="report_code" localSheetId="0">'Лист 1'!$C$1</definedName>
    <definedName name="report_code">'Лист 1'!$K$1</definedName>
    <definedName name="report_name">'Лист 1'!$A$7</definedName>
    <definedName name="report_period">'Лист 1'!$A$8</definedName>
    <definedName name="subdivision" localSheetId="0">'Лист 1'!$A$2</definedName>
    <definedName name="subdivision_sign" localSheetId="0">'Лист 1'!$A$3</definedName>
    <definedName name="_xlnm.Print_Area" localSheetId="0">'Лист 1'!$A$1:$H$22</definedName>
  </definedNames>
  <calcPr calcId="144525"/>
</workbook>
</file>

<file path=xl/calcChain.xml><?xml version="1.0" encoding="utf-8"?>
<calcChain xmlns="http://schemas.openxmlformats.org/spreadsheetml/2006/main">
  <c r="F29" i="1" l="1"/>
  <c r="E29" i="1"/>
  <c r="D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</calcChain>
</file>

<file path=xl/sharedStrings.xml><?xml version="1.0" encoding="utf-8"?>
<sst xmlns="http://schemas.openxmlformats.org/spreadsheetml/2006/main" count="44" uniqueCount="41">
  <si>
    <t>наименование территориального банка / учётного подразделения Центрального аппарата</t>
  </si>
  <si>
    <t/>
  </si>
  <si>
    <r>
      <rPr>
        <b/>
        <sz val="11"/>
        <color rgb="FF000000"/>
        <rFont val="Calibri"/>
        <family val="2"/>
        <charset val="204"/>
      </rPr>
      <t>Подразделение</t>
    </r>
    <r>
      <rPr>
        <sz val="11"/>
        <color rgb="FF000000"/>
        <rFont val="Calibri"/>
        <family val="2"/>
        <charset val="204"/>
      </rPr>
      <t xml:space="preserve"> </t>
    </r>
    <r>
      <rPr>
        <u/>
        <sz val="11"/>
        <color rgb="FF000000"/>
        <rFont val="Calibri"/>
        <family val="2"/>
        <charset val="204"/>
      </rPr>
      <t xml:space="preserve"> </t>
    </r>
    <r>
      <rPr>
        <u/>
        <sz val="11"/>
        <color rgb="FF000000"/>
        <rFont val="Calibri"/>
        <family val="2"/>
        <charset val="204"/>
      </rPr>
      <t xml:space="preserve"> Байкальский банк</t>
    </r>
  </si>
  <si>
    <t>« 26 » октября 2015 г.</t>
  </si>
  <si>
    <t>Приложение 4-9. Налоговая эффективность по уступке прав требования по проблемным активам в разрезе ТБ</t>
  </si>
  <si>
    <t>Приложение 4-9</t>
  </si>
  <si>
    <t>за первый квартал 2025 г./третий квартал 2030 г. (нарастающим итогом)</t>
  </si>
  <si>
    <t>№ п/п</t>
  </si>
  <si>
    <t>Подразделение Банка</t>
  </si>
  <si>
    <t>БУ, тыс. руб.</t>
  </si>
  <si>
    <t>НУд, тыс. руб.</t>
  </si>
  <si>
    <t>НУп, тыс. руб.</t>
  </si>
  <si>
    <t>Налоговое бремя, тыс. руб.</t>
  </si>
  <si>
    <t>симв. ф.102 (26307.02+22204)</t>
  </si>
  <si>
    <t>КНУ 21490</t>
  </si>
  <si>
    <t>КНУ 21510</t>
  </si>
  <si>
    <t>(гр.3-(гр.4+гр.5))*20%</t>
  </si>
  <si>
    <t>1</t>
  </si>
  <si>
    <t>2</t>
  </si>
  <si>
    <t>3</t>
  </si>
  <si>
    <t>4</t>
  </si>
  <si>
    <t>5</t>
  </si>
  <si>
    <t>6</t>
  </si>
  <si>
    <t>В целом по Банку</t>
  </si>
  <si>
    <t>Исполнитель: /</t>
  </si>
  <si>
    <t>Байкальский банк</t>
  </si>
  <si>
    <t>Волго-Вятский банк</t>
  </si>
  <si>
    <t>Восточно-Сибирский</t>
  </si>
  <si>
    <t>Дальневосточный банк</t>
  </si>
  <si>
    <t>Западно-Сибирский банк</t>
  </si>
  <si>
    <t>Западно-Уральский банк</t>
  </si>
  <si>
    <t>Московский банк</t>
  </si>
  <si>
    <t>Поволжский банк</t>
  </si>
  <si>
    <t>Северный банк</t>
  </si>
  <si>
    <t>Северо-Западный банк</t>
  </si>
  <si>
    <t>Северо-Кавказский банк</t>
  </si>
  <si>
    <t>Сибирский банк</t>
  </si>
  <si>
    <t>Среднерусский банк</t>
  </si>
  <si>
    <t>Уральский банк</t>
  </si>
  <si>
    <t>Центрально-Черноземный банк</t>
  </si>
  <si>
    <t>Юго-Западный банк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</si>
</sst>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rgb="FF000000"/>
      <name val="Calibri"/>
      <family val="2"/>
      <charset val="204"/>
    </font>
    <font>
      <b/>
      <sz val="11"/>
      <color rgb="FF000000"/>
      <name val="Calibri"/>
      <family val="2"/>
      <charset val="204"/>
    </font>
    <font>
      <b/>
      <sz val="12"/>
      <color rgb="FF000000"/>
      <name val="Calibri"/>
      <family val="2"/>
      <charset val="204"/>
    </font>
    <font>
      <sz val="8"/>
      <color rgb="FF000000"/>
      <name val="Calibri"/>
      <family val="2"/>
      <charset val="204"/>
    </font>
    <font>
      <u/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22"/>
      </patternFill>
    </fill>
    <fill>
      <patternFill patternType="none"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/>
      <diagonal/>
    </border>
    <border>
      <left/>
      <right style="thick">
        <color indexed="8"/>
      </right>
      <top style="thick">
        <color indexed="8"/>
      </top>
      <bottom/>
      <diagonal/>
    </border>
    <border>
      <left/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3" borderId="3"/>
  </cellStyleXfs>
  <cellXfs count="33">
    <xf numFmtId="0" fontId="0" fillId="0" borderId="0" xfId="0"/>
    <xf numFmtId="0" fontId="0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3" fillId="0" borderId="0" xfId="0" applyFont="1"/>
    <xf numFmtId="0" fontId="0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Continuous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6" fillId="4" borderId="6" xfId="0" applyFont="1" applyFill="1" applyBorder="1" applyAlignment="1">
      <alignment horizontal="right" vertical="center"/>
    </xf>
    <xf numFmtId="0" fontId="6" fillId="4" borderId="6" xfId="0" applyFont="1" applyFill="1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5" borderId="6" xfId="0" applyFont="1" applyFill="1" applyBorder="1" applyAlignment="1">
      <alignment vertical="center" wrapText="1"/>
    </xf>
    <xf numFmtId="2" fontId="6" fillId="5" borderId="7" xfId="0" applyNumberFormat="1" applyFont="1" applyFill="1" applyBorder="1" applyAlignment="1">
      <alignment horizontal="right" vertical="center" wrapText="1"/>
    </xf>
    <xf numFmtId="0" fontId="6" fillId="4" borderId="1" xfId="0" applyFont="1" applyFill="1" applyBorder="1" applyAlignment="1">
      <alignment horizontal="right" vertical="center" wrapText="1"/>
    </xf>
    <xf numFmtId="0" fontId="6" fillId="4" borderId="1" xfId="0" applyFont="1" applyFill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2" fontId="6" fillId="5" borderId="1" xfId="0" applyNumberFormat="1" applyFont="1" applyFill="1" applyBorder="1" applyAlignment="1">
      <alignment horizontal="right" vertical="center" wrapText="1"/>
    </xf>
    <xf numFmtId="0" fontId="6" fillId="4" borderId="1" xfId="0" applyFont="1" applyFill="1" applyBorder="1" applyAlignment="1">
      <alignment horizontal="right" vertical="center"/>
    </xf>
    <xf numFmtId="0" fontId="0" fillId="2" borderId="2" xfId="0" applyFill="1" applyBorder="1" applyAlignment="1">
      <alignment horizontal="center" wrapText="1"/>
    </xf>
    <xf numFmtId="0" fontId="0" fillId="3" borderId="5" xfId="0" applyNumberFormat="1" applyFont="1" applyFill="1" applyBorder="1"/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3" fillId="0" borderId="0" xfId="0" applyFont="1" applyAlignment="1">
      <alignment horizontal="left" vertical="top"/>
    </xf>
    <xf numFmtId="0" fontId="0" fillId="0" borderId="0" xfId="0" applyFont="1"/>
    <xf numFmtId="0" fontId="0" fillId="0" borderId="0" xfId="0" applyAlignment="1">
      <alignment horizontal="left" wrapText="1"/>
    </xf>
    <xf numFmtId="0" fontId="0" fillId="3" borderId="4" xfId="0" applyNumberFormat="1" applyFont="1" applyFill="1" applyBorder="1"/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M35"/>
  <sheetViews>
    <sheetView tabSelected="1" topLeftCell="B1" zoomScaleNormal="100" workbookViewId="0">
      <selection activeCell="G30" sqref="G30"/>
    </sheetView>
  </sheetViews>
  <sheetFormatPr defaultRowHeight="15" x14ac:dyDescent="0.25"/>
  <cols>
    <col min="1" max="1" width="0" hidden="1" customWidth="1"/>
    <col min="2" max="2" width="8" customWidth="1"/>
    <col min="3" max="3" width="40" customWidth="1"/>
    <col min="4" max="7" width="20" customWidth="1"/>
    <col min="8" max="255" width="8.5703125"/>
    <col min="256" max="256" width="8.5703125" customWidth="1"/>
  </cols>
  <sheetData>
    <row r="1" spans="1:13" x14ac:dyDescent="0.25">
      <c r="B1" s="7"/>
      <c r="F1" s="8" t="s">
        <v>5</v>
      </c>
      <c r="G1" s="8"/>
      <c r="K1" s="5"/>
      <c r="M1" s="1"/>
    </row>
    <row r="2" spans="1:13" ht="15" customHeight="1" x14ac:dyDescent="0.25">
      <c r="A2" s="7" t="s">
        <v>1</v>
      </c>
      <c r="B2" s="31" t="s">
        <v>2</v>
      </c>
      <c r="C2" s="31"/>
      <c r="D2" s="31"/>
      <c r="E2" s="31"/>
      <c r="F2" s="31"/>
      <c r="G2" s="31"/>
      <c r="K2" s="2"/>
      <c r="M2" s="2"/>
    </row>
    <row r="3" spans="1:13" x14ac:dyDescent="0.25">
      <c r="A3" s="29" t="s">
        <v>0</v>
      </c>
      <c r="B3" s="29"/>
      <c r="C3" s="29"/>
      <c r="D3" s="29"/>
      <c r="E3" s="29"/>
      <c r="F3" s="29"/>
      <c r="G3" s="29"/>
      <c r="H3" s="29"/>
      <c r="I3" s="29"/>
      <c r="J3" s="29"/>
    </row>
    <row r="4" spans="1:13" ht="15" customHeight="1" x14ac:dyDescent="0.25">
      <c r="A4" s="30" t="s">
        <v>3</v>
      </c>
      <c r="B4" s="30"/>
      <c r="C4" s="30"/>
      <c r="D4" s="30"/>
      <c r="E4" s="30"/>
      <c r="F4" s="30"/>
      <c r="G4" s="30"/>
      <c r="H4" s="30"/>
      <c r="I4" s="30"/>
      <c r="J4" s="30"/>
    </row>
    <row r="7" spans="1:13" x14ac:dyDescent="0.25">
      <c r="A7" s="8"/>
      <c r="B7" s="8" t="s">
        <v>4</v>
      </c>
      <c r="C7" s="8"/>
      <c r="D7" s="8"/>
      <c r="E7" s="8"/>
      <c r="F7" s="8"/>
      <c r="G7" s="8"/>
    </row>
    <row r="8" spans="1:13" ht="15.75" customHeight="1" x14ac:dyDescent="0.25">
      <c r="A8" s="6"/>
      <c r="D8" s="6" t="s">
        <v>6</v>
      </c>
      <c r="G8" s="3"/>
    </row>
    <row r="10" spans="1:13" ht="30" x14ac:dyDescent="0.25">
      <c r="A10" s="24" t="s">
        <v>7</v>
      </c>
      <c r="B10" s="32"/>
      <c r="C10" s="24" t="s">
        <v>8</v>
      </c>
      <c r="D10" s="10" t="s">
        <v>9</v>
      </c>
      <c r="E10" s="11" t="s">
        <v>10</v>
      </c>
      <c r="F10" s="12" t="s">
        <v>11</v>
      </c>
      <c r="G10" s="13" t="s">
        <v>12</v>
      </c>
    </row>
    <row r="11" spans="1:13" ht="30" x14ac:dyDescent="0.25">
      <c r="A11" s="24" t="s">
        <v>7</v>
      </c>
      <c r="B11" s="24" t="s">
        <v>7</v>
      </c>
      <c r="C11" s="24" t="s">
        <v>8</v>
      </c>
      <c r="D11" s="10" t="s">
        <v>13</v>
      </c>
      <c r="E11" s="11" t="s">
        <v>14</v>
      </c>
      <c r="F11" s="12" t="s">
        <v>15</v>
      </c>
      <c r="G11" s="13" t="s">
        <v>16</v>
      </c>
    </row>
    <row r="12" spans="1:13" ht="16.5" thickTop="1" thickBot="1" x14ac:dyDescent="0.3">
      <c r="A12" s="24" t="s">
        <v>17</v>
      </c>
      <c r="B12" s="25"/>
      <c r="C12" s="9" t="s">
        <v>18</v>
      </c>
      <c r="D12" s="10" t="s">
        <v>19</v>
      </c>
      <c r="E12" s="11" t="s">
        <v>20</v>
      </c>
      <c r="F12" s="12" t="s">
        <v>21</v>
      </c>
      <c r="G12" s="13" t="s">
        <v>22</v>
      </c>
    </row>
    <row r="13" spans="1:13" ht="15.75" thickTop="1" x14ac:dyDescent="0.25">
      <c r="B13" s="14">
        <v>1</v>
      </c>
      <c r="C13" s="15" t="s">
        <v>25</v>
      </c>
      <c r="D13" s="16">
        <v>1234567.45</v>
      </c>
      <c r="E13" s="17">
        <v>567345.75</v>
      </c>
      <c r="F13" s="17">
        <v>668645.34</v>
      </c>
      <c r="G13" s="18">
        <f>(D13-E13-F13)*0.2</f>
        <v>-284.72800000000279</v>
      </c>
    </row>
    <row r="14" spans="1:13" x14ac:dyDescent="0.25">
      <c r="B14" s="19">
        <v>2</v>
      </c>
      <c r="C14" s="20" t="s">
        <v>26</v>
      </c>
      <c r="D14" s="21">
        <v>1314567.73</v>
      </c>
      <c r="E14" s="21">
        <v>557345.75</v>
      </c>
      <c r="F14" s="21">
        <v>568612.35</v>
      </c>
      <c r="G14" s="22">
        <f t="shared" ref="G14:G28" si="0">(D14-E14-F14)*0.2</f>
        <v>37721.925999999999</v>
      </c>
    </row>
    <row r="15" spans="1:13" ht="15" customHeight="1" x14ac:dyDescent="0.25">
      <c r="B15" s="23">
        <v>3</v>
      </c>
      <c r="C15" s="20" t="s">
        <v>27</v>
      </c>
      <c r="D15" s="21">
        <v>1714567.14</v>
      </c>
      <c r="E15" s="21">
        <v>557345.75</v>
      </c>
      <c r="F15" s="21">
        <v>568612.74</v>
      </c>
      <c r="G15" s="22">
        <f t="shared" si="0"/>
        <v>117721.72999999998</v>
      </c>
    </row>
    <row r="16" spans="1:13" x14ac:dyDescent="0.25">
      <c r="B16" s="19">
        <v>4</v>
      </c>
      <c r="C16" s="20" t="s">
        <v>28</v>
      </c>
      <c r="D16" s="21">
        <v>1414367.73</v>
      </c>
      <c r="E16" s="21">
        <v>557345.81999999995</v>
      </c>
      <c r="F16" s="21">
        <v>568612.35</v>
      </c>
      <c r="G16" s="22">
        <f t="shared" si="0"/>
        <v>57681.912000000011</v>
      </c>
    </row>
    <row r="17" spans="1:7" x14ac:dyDescent="0.25">
      <c r="B17" s="23">
        <v>5</v>
      </c>
      <c r="C17" s="20" t="s">
        <v>29</v>
      </c>
      <c r="D17" s="21">
        <v>1814567.73</v>
      </c>
      <c r="E17" s="21">
        <v>557345.55000000005</v>
      </c>
      <c r="F17" s="21">
        <v>568612.88</v>
      </c>
      <c r="G17" s="22">
        <f t="shared" si="0"/>
        <v>137721.85999999999</v>
      </c>
    </row>
    <row r="18" spans="1:7" x14ac:dyDescent="0.25">
      <c r="B18" s="19">
        <v>6</v>
      </c>
      <c r="C18" s="20" t="s">
        <v>30</v>
      </c>
      <c r="D18" s="21">
        <v>1376656.71</v>
      </c>
      <c r="E18" s="21">
        <v>557345.72</v>
      </c>
      <c r="F18" s="21">
        <v>568612.35</v>
      </c>
      <c r="G18" s="22">
        <f t="shared" si="0"/>
        <v>50139.728000000003</v>
      </c>
    </row>
    <row r="19" spans="1:7" x14ac:dyDescent="0.25">
      <c r="B19" s="19">
        <v>7</v>
      </c>
      <c r="C19" s="20" t="s">
        <v>31</v>
      </c>
      <c r="D19" s="21">
        <v>1314567.73</v>
      </c>
      <c r="E19" s="21">
        <v>557345.74</v>
      </c>
      <c r="F19" s="21">
        <v>568612.13</v>
      </c>
      <c r="G19" s="22">
        <f t="shared" si="0"/>
        <v>37721.972000000002</v>
      </c>
    </row>
    <row r="20" spans="1:7" x14ac:dyDescent="0.25">
      <c r="B20" s="23">
        <v>8</v>
      </c>
      <c r="C20" s="20" t="s">
        <v>32</v>
      </c>
      <c r="D20" s="21">
        <v>4114567.73</v>
      </c>
      <c r="E20" s="21">
        <v>957345.75</v>
      </c>
      <c r="F20" s="21">
        <v>968612.35</v>
      </c>
      <c r="G20" s="22">
        <f t="shared" si="0"/>
        <v>437721.92599999998</v>
      </c>
    </row>
    <row r="21" spans="1:7" x14ac:dyDescent="0.25">
      <c r="B21" s="23">
        <v>9</v>
      </c>
      <c r="C21" s="20" t="s">
        <v>33</v>
      </c>
      <c r="D21" s="21">
        <v>2314567.73</v>
      </c>
      <c r="E21" s="21">
        <v>557345.9</v>
      </c>
      <c r="F21" s="21">
        <v>568612.98</v>
      </c>
      <c r="G21" s="22">
        <f t="shared" si="0"/>
        <v>237721.77000000002</v>
      </c>
    </row>
    <row r="22" spans="1:7" x14ac:dyDescent="0.25">
      <c r="B22" s="23">
        <v>10</v>
      </c>
      <c r="C22" s="20" t="s">
        <v>34</v>
      </c>
      <c r="D22" s="21">
        <v>1314567.73</v>
      </c>
      <c r="E22" s="21">
        <v>557345.75</v>
      </c>
      <c r="F22" s="21">
        <v>568612.35</v>
      </c>
      <c r="G22" s="22">
        <f t="shared" si="0"/>
        <v>37721.925999999999</v>
      </c>
    </row>
    <row r="23" spans="1:7" x14ac:dyDescent="0.25">
      <c r="B23" s="23">
        <v>11</v>
      </c>
      <c r="C23" s="20" t="s">
        <v>35</v>
      </c>
      <c r="D23" s="21">
        <v>1314567.73</v>
      </c>
      <c r="E23" s="21">
        <v>557345.75</v>
      </c>
      <c r="F23" s="21">
        <v>568612.35</v>
      </c>
      <c r="G23" s="22">
        <f t="shared" si="0"/>
        <v>37721.925999999999</v>
      </c>
    </row>
    <row r="24" spans="1:7" x14ac:dyDescent="0.25">
      <c r="B24" s="23">
        <v>12</v>
      </c>
      <c r="C24" s="20" t="s">
        <v>36</v>
      </c>
      <c r="D24" s="21">
        <v>24314567.73</v>
      </c>
      <c r="E24" s="21">
        <v>187345.54</v>
      </c>
      <c r="F24" s="21">
        <v>468612.13</v>
      </c>
      <c r="G24" s="22">
        <f t="shared" si="0"/>
        <v>4731722.012000001</v>
      </c>
    </row>
    <row r="25" spans="1:7" x14ac:dyDescent="0.25">
      <c r="B25" s="23">
        <v>13</v>
      </c>
      <c r="C25" s="20" t="s">
        <v>37</v>
      </c>
      <c r="D25" s="21">
        <v>1314567.6599999999</v>
      </c>
      <c r="E25" s="21">
        <v>557345.13</v>
      </c>
      <c r="F25" s="21">
        <v>528612.15</v>
      </c>
      <c r="G25" s="22">
        <f t="shared" si="0"/>
        <v>45722.075999999979</v>
      </c>
    </row>
    <row r="26" spans="1:7" x14ac:dyDescent="0.25">
      <c r="B26" s="23">
        <v>14</v>
      </c>
      <c r="C26" s="20" t="s">
        <v>38</v>
      </c>
      <c r="D26" s="21">
        <v>1214567.73</v>
      </c>
      <c r="E26" s="21">
        <v>557345.87</v>
      </c>
      <c r="F26" s="21">
        <v>668612.59</v>
      </c>
      <c r="G26" s="22">
        <f t="shared" si="0"/>
        <v>-2278.1459999999965</v>
      </c>
    </row>
    <row r="27" spans="1:7" x14ac:dyDescent="0.25">
      <c r="B27" s="23">
        <v>15</v>
      </c>
      <c r="C27" s="20" t="s">
        <v>39</v>
      </c>
      <c r="D27" s="21">
        <v>1314592.73</v>
      </c>
      <c r="E27" s="21">
        <v>497345.66</v>
      </c>
      <c r="F27" s="21">
        <v>568612.17000000004</v>
      </c>
      <c r="G27" s="22">
        <f t="shared" si="0"/>
        <v>49726.98000000001</v>
      </c>
    </row>
    <row r="28" spans="1:7" x14ac:dyDescent="0.25">
      <c r="B28" s="23">
        <v>16</v>
      </c>
      <c r="C28" s="20" t="s">
        <v>40</v>
      </c>
      <c r="D28" s="21">
        <v>1114567.73</v>
      </c>
      <c r="E28" s="21">
        <v>557345.75</v>
      </c>
      <c r="F28" s="21">
        <v>1168612.3500000001</v>
      </c>
      <c r="G28" s="22">
        <f t="shared" si="0"/>
        <v>-122278.07400000002</v>
      </c>
    </row>
    <row r="29" spans="1:7" x14ac:dyDescent="0.25">
      <c r="A29" s="26" t="s">
        <v>23</v>
      </c>
      <c r="B29" s="27"/>
      <c r="C29" s="28"/>
      <c r="D29" s="19">
        <f>SUM(D13:D28)</f>
        <v>48514996.719999991</v>
      </c>
      <c r="E29" s="19">
        <f>SUM(E13:E28)</f>
        <v>8897531.1799999997</v>
      </c>
      <c r="F29" s="19">
        <f>SUM(F13:F28)</f>
        <v>10157831.559999999</v>
      </c>
      <c r="G29" s="22">
        <v>5891926.8099999996</v>
      </c>
    </row>
    <row r="33" spans="1:2" x14ac:dyDescent="0.25">
      <c r="B33" t="s">
        <v>24</v>
      </c>
    </row>
    <row r="35" spans="1:2" x14ac:dyDescent="0.25">
      <c r="A35" s="4"/>
    </row>
  </sheetData>
  <mergeCells count="7">
    <mergeCell ref="A12:B12"/>
    <mergeCell ref="A29:C29"/>
    <mergeCell ref="A3:J3"/>
    <mergeCell ref="A4:J4"/>
    <mergeCell ref="B2:G2"/>
    <mergeCell ref="A10:B11"/>
    <mergeCell ref="C10:C11"/>
  </mergeCells>
  <pageMargins left="0.39374999999999999" right="0.39374999999999999" top="0.39374999999999999" bottom="0.39374999999999999" header="0.51180555555555496" footer="0.51180555555555496"/>
  <pageSetup paperSize="9" firstPageNumber="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10</vt:i4>
      </vt:variant>
    </vt:vector>
  </HeadingPairs>
  <TitlesOfParts>
    <vt:vector size="11" baseType="lpstr">
      <vt:lpstr>Лист 1</vt:lpstr>
      <vt:lpstr>date_create</vt:lpstr>
      <vt:lpstr>'Лист 1'!fio</vt:lpstr>
      <vt:lpstr>'Лист 1'!position</vt:lpstr>
      <vt:lpstr>'Лист 1'!report_code</vt:lpstr>
      <vt:lpstr>report_code</vt:lpstr>
      <vt:lpstr>report_name</vt:lpstr>
      <vt:lpstr>report_period</vt:lpstr>
      <vt:lpstr>'Лист 1'!subdivision</vt:lpstr>
      <vt:lpstr>'Лист 1'!subdivision_sign</vt:lpstr>
      <vt:lpstr>'Лист 1'!Область_печати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khudaverdyan</dc:creator>
  <cp:lastModifiedBy>user</cp:lastModifiedBy>
  <cp:revision>0</cp:revision>
  <dcterms:created xsi:type="dcterms:W3CDTF">2013-02-15T05:22:43Z</dcterms:created>
  <dcterms:modified xsi:type="dcterms:W3CDTF">2015-10-26T06:44:37Z</dcterms:modified>
</cp:coreProperties>
</file>